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jes" sheetId="2" state="visible" r:id="rId4"/>
    <sheet name="Rubrica_Controles" sheetId="3" state="visible" r:id="rId5"/>
    <sheet name="Apetito_Moderado" sheetId="4" state="visible" r:id="rId6"/>
    <sheet name="Apetito_Conservador" sheetId="5" state="visible" r:id="rId7"/>
    <sheet name="Apetito_Agresivo" sheetId="6" state="visible" r:id="rId8"/>
    <sheet name="Apetito_MetodologiaPropia" sheetId="7" state="visible" r:id="rId9"/>
    <sheet name="Configuracion_Cliente" sheetId="8" state="visible" r:id="rId10"/>
    <sheet name="Umbrales_UVB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<sst xmlns="http://schemas.openxmlformats.org/spreadsheetml/2006/main" count="276" uniqueCount="116">
  <si>
    <t xml:space="preserve">CONFIGURACIÓN — App de Matriz de Riesgos Parametrizable</t>
  </si>
  <si>
    <t xml:space="preserve">Este archivo controla el comportamiento del motor de cálculo. No se edita código Python.</t>
  </si>
  <si>
    <t xml:space="preserve">Hoja</t>
  </si>
  <si>
    <t xml:space="preserve">Contenido</t>
  </si>
  <si>
    <t xml:space="preserve">¿Se edita?</t>
  </si>
  <si>
    <t xml:space="preserve">Ejes</t>
  </si>
  <si>
    <t xml:space="preserve">Bandas de probabilidad e impacto (segmentos de 20%)</t>
  </si>
  <si>
    <t xml:space="preserve">No recomendado — es la base de todas las escalas</t>
  </si>
  <si>
    <t xml:space="preserve">Rubrica_Controles</t>
  </si>
  <si>
    <t xml:space="preserve">Puntajes de automatización, documentación y periodicidad (RD-002)</t>
  </si>
  <si>
    <t xml:space="preserve">No recomendado — metodología validada con paridad 142/142</t>
  </si>
  <si>
    <t xml:space="preserve">Apetito_Moderado / Conservador / Agresivo</t>
  </si>
  <si>
    <t xml:space="preserve">Perfiles de apetito de riesgo (RD-008)</t>
  </si>
  <si>
    <t xml:space="preserve">SÍ — la junta directiva del cliente puede ajustar celda por celda</t>
  </si>
  <si>
    <t xml:space="preserve">Apetito_MetodologiaPropia</t>
  </si>
  <si>
    <t xml:space="preserve">Perfil legado de 4 niveles (paridad con el Excel original)</t>
  </si>
  <si>
    <t xml:space="preserve">No — se usa solo para trazabilidad histórica</t>
  </si>
  <si>
    <t xml:space="preserve">Configuracion_Cliente</t>
  </si>
  <si>
    <t xml:space="preserve">Parámetros activos: modo de agregación, apetito elegido, topes (RD-001, RD-007, RD-008, RD-009, RD-010)</t>
  </si>
  <si>
    <t xml:space="preserve">SÍ — es la hoja que cambia por cliente</t>
  </si>
  <si>
    <t xml:space="preserve">Umbrales_UVB</t>
  </si>
  <si>
    <t xml:space="preserve">Valor UVB del año y umbrales de régimen (Capítulo IX)</t>
  </si>
  <si>
    <t xml:space="preserve">SÍ (solo 'valor_uvb_cop', una vez al año) — el resto no</t>
  </si>
  <si>
    <t xml:space="preserve">Celdas con fondo amarillo = editables. Todo lo demás es metodología ya validada; cambiarlo requiere una nueva prueba de paridad.</t>
  </si>
  <si>
    <t xml:space="preserve">Tipo</t>
  </si>
  <si>
    <t xml:space="preserve">Nivel</t>
  </si>
  <si>
    <t xml:space="preserve">Etiqueta</t>
  </si>
  <si>
    <t xml:space="preserve">Limite_Superior</t>
  </si>
  <si>
    <t xml:space="preserve">Probabilidad</t>
  </si>
  <si>
    <t xml:space="preserve">Rara vez</t>
  </si>
  <si>
    <t xml:space="preserve">Poco probable</t>
  </si>
  <si>
    <t xml:space="preserve">Probable</t>
  </si>
  <si>
    <t xml:space="preserve">Muy probable</t>
  </si>
  <si>
    <t xml:space="preserve">Casi seguro</t>
  </si>
  <si>
    <t xml:space="preserve">Impacto</t>
  </si>
  <si>
    <t xml:space="preserve">Leve</t>
  </si>
  <si>
    <t xml:space="preserve">Menor</t>
  </si>
  <si>
    <t xml:space="preserve">Moderado</t>
  </si>
  <si>
    <t xml:space="preserve">Mayor</t>
  </si>
  <si>
    <t xml:space="preserve">Catastrófico</t>
  </si>
  <si>
    <t xml:space="preserve">Criterio</t>
  </si>
  <si>
    <t xml:space="preserve">Opcion</t>
  </si>
  <si>
    <t xml:space="preserve">Puntaje</t>
  </si>
  <si>
    <t xml:space="preserve">Automatizacion</t>
  </si>
  <si>
    <t xml:space="preserve">Manual</t>
  </si>
  <si>
    <t xml:space="preserve">Semiautomatico</t>
  </si>
  <si>
    <t xml:space="preserve">Automatico</t>
  </si>
  <si>
    <t xml:space="preserve">Documentacion</t>
  </si>
  <si>
    <t xml:space="preserve">Documentado</t>
  </si>
  <si>
    <t xml:space="preserve">No documentado</t>
  </si>
  <si>
    <t xml:space="preserve">Periodicidad</t>
  </si>
  <si>
    <t xml:space="preserve">Diario</t>
  </si>
  <si>
    <t xml:space="preserve">A demanda</t>
  </si>
  <si>
    <t xml:space="preserve">Semanal</t>
  </si>
  <si>
    <t xml:space="preserve">Quincenal</t>
  </si>
  <si>
    <t xml:space="preserve">Mensual</t>
  </si>
  <si>
    <t xml:space="preserve">Bimestral</t>
  </si>
  <si>
    <t xml:space="preserve">Trimestral</t>
  </si>
  <si>
    <t xml:space="preserve">Semestral</t>
  </si>
  <si>
    <t xml:space="preserve">Anual</t>
  </si>
  <si>
    <t xml:space="preserve">Bianual</t>
  </si>
  <si>
    <t xml:space="preserve">Denominador de la rúbrica: 15. Techo real de eficacia: 13.5/15 = 90% (deliberado, RD-002: ningún control elimina el riesgo por completo).</t>
  </si>
  <si>
    <t xml:space="preserve">Probabilidad \ Impacto</t>
  </si>
  <si>
    <t xml:space="preserve">MODERADO</t>
  </si>
  <si>
    <t xml:space="preserve">ALTO</t>
  </si>
  <si>
    <t xml:space="preserve">EXTREMO</t>
  </si>
  <si>
    <t xml:space="preserve">BAJO</t>
  </si>
  <si>
    <t xml:space="preserve">MUY BAJO</t>
  </si>
  <si>
    <t xml:space="preserve">MEDIO</t>
  </si>
  <si>
    <t xml:space="preserve">SIGNIFICATIVO</t>
  </si>
  <si>
    <t xml:space="preserve">INSIGNIFICANTE</t>
  </si>
  <si>
    <t xml:space="preserve">Parametro</t>
  </si>
  <si>
    <t xml:space="preserve">Valor</t>
  </si>
  <si>
    <t xml:space="preserve">Opciones_Validas</t>
  </si>
  <si>
    <t xml:space="preserve">Referencia</t>
  </si>
  <si>
    <t xml:space="preserve">modo_impacto</t>
  </si>
  <si>
    <t xml:space="preserve">max</t>
  </si>
  <si>
    <t xml:space="preserve">max | promedio</t>
  </si>
  <si>
    <t xml:space="preserve">RD-007</t>
  </si>
  <si>
    <t xml:space="preserve">modo_controles</t>
  </si>
  <si>
    <t xml:space="preserve">cascada</t>
  </si>
  <si>
    <t xml:space="preserve">cascada | promedio | dominante</t>
  </si>
  <si>
    <t xml:space="preserve">RD-001</t>
  </si>
  <si>
    <t xml:space="preserve">modo_clasificacion</t>
  </si>
  <si>
    <t xml:space="preserve">zona</t>
  </si>
  <si>
    <t xml:space="preserve">zona | multiplicacion</t>
  </si>
  <si>
    <t xml:space="preserve">RD-008</t>
  </si>
  <si>
    <t xml:space="preserve">apetito</t>
  </si>
  <si>
    <t xml:space="preserve">moderado</t>
  </si>
  <si>
    <t xml:space="preserve">moderado | conservador | agresivo | metodologia_propia</t>
  </si>
  <si>
    <t xml:space="preserve">tope_reduccion_agregada</t>
  </si>
  <si>
    <t xml:space="preserve">vacío = natural (default) | número 0-1, ej. 0.9</t>
  </si>
  <si>
    <t xml:space="preserve">RD-009</t>
  </si>
  <si>
    <t xml:space="preserve">descenso_maximo_residual</t>
  </si>
  <si>
    <t xml:space="preserve">entero &gt;= 0 | vacío = sin piso</t>
  </si>
  <si>
    <t xml:space="preserve">RD-010</t>
  </si>
  <si>
    <t xml:space="preserve">Valor de la UVB — actualizar una vez al año, cuando MinHacienda expida la nueva resolución</t>
  </si>
  <si>
    <t xml:space="preserve">Fuente</t>
  </si>
  <si>
    <t xml:space="preserve">valor_uvb_cop</t>
  </si>
  <si>
    <t xml:space="preserve">Resolución 3488 de 2025, MinHacienda — vigente 2026</t>
  </si>
  <si>
    <t xml:space="preserve">vigencia</t>
  </si>
  <si>
    <t xml:space="preserve">-</t>
  </si>
  <si>
    <t xml:space="preserve">Umbrales de régimen — no editar, provienen de la Circular Externa 100-000020 (Capítulo IX)</t>
  </si>
  <si>
    <t xml:space="preserve">Regimen</t>
  </si>
  <si>
    <t xml:space="preserve">Tipo_Umbral</t>
  </si>
  <si>
    <t xml:space="preserve">Umbral_UVB</t>
  </si>
  <si>
    <t xml:space="preserve">Umbral_COP (calculado)</t>
  </si>
  <si>
    <t xml:space="preserve">General</t>
  </si>
  <si>
    <t xml:space="preserve">ingresos_o_activos</t>
  </si>
  <si>
    <t xml:space="preserve">CE 100-000020, num. 9.4</t>
  </si>
  <si>
    <t xml:space="preserve">RMM_Ampliado</t>
  </si>
  <si>
    <t xml:space="preserve">ingresos</t>
  </si>
  <si>
    <t xml:space="preserve">CE 100-000020, num. 9.5 (sectores: farmacéutico, infraestructura y construcción, manufacturero, minero-energético)</t>
  </si>
  <si>
    <t xml:space="preserve">activos</t>
  </si>
  <si>
    <t xml:space="preserve">CE 100-000020, num. 9.5 (mismos sectores)</t>
  </si>
  <si>
    <t xml:space="preserve">Nota: los sectores de 'sistema pleno' (num. 9.5 — inmobiliarios, metales y piedras preciosas, servicios jurídicos y contables, construcción, comercio de vehículos, activos virtuales, cámaras de comercio) son sujetos obligados por actividad, sin importar el umbral de ingresos o activos.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</si>
</sst>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&quot; COP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45"/>
    <col collapsed="false" customWidth="true" hidden="false" outlineLevel="0" max="4" min="4" style="1" width="10"/>
  </cols>
  <sheetData>
    <row r="1" customFormat="false" ht="15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/>
    </row>
    <row r="5" customFormat="false" ht="23.25" hidden="false" customHeight="true" outlineLevel="0" collapsed="false">
      <c r="A5" s="5" t="s">
        <v>5</v>
      </c>
      <c r="B5" s="5" t="s">
        <v>6</v>
      </c>
      <c r="C5" s="5" t="s">
        <v>7</v>
      </c>
      <c r="D5" s="5"/>
    </row>
    <row r="6" customFormat="false" ht="23.25" hidden="false" customHeight="true" outlineLevel="0" collapsed="false">
      <c r="A6" s="5" t="s">
        <v>8</v>
      </c>
      <c r="B6" s="5" t="s">
        <v>9</v>
      </c>
      <c r="C6" s="5" t="s">
        <v>10</v>
      </c>
      <c r="D6" s="5"/>
    </row>
    <row r="7" customFormat="false" ht="23.25" hidden="false" customHeight="true" outlineLevel="0" collapsed="false">
      <c r="A7" s="5" t="s">
        <v>11</v>
      </c>
      <c r="B7" s="5" t="s">
        <v>12</v>
      </c>
      <c r="C7" s="5" t="s">
        <v>13</v>
      </c>
      <c r="D7" s="5"/>
    </row>
    <row r="8" customFormat="false" ht="23.25" hidden="false" customHeight="true" outlineLevel="0" collapsed="false">
      <c r="A8" s="5" t="s">
        <v>14</v>
      </c>
      <c r="B8" s="5" t="s">
        <v>15</v>
      </c>
      <c r="C8" s="5" t="s">
        <v>16</v>
      </c>
      <c r="D8" s="5"/>
    </row>
    <row r="9" customFormat="false" ht="34.5" hidden="false" customHeight="true" outlineLevel="0" collapsed="false">
      <c r="A9" s="5" t="s">
        <v>17</v>
      </c>
      <c r="B9" s="5" t="s">
        <v>18</v>
      </c>
      <c r="C9" s="5" t="s">
        <v>19</v>
      </c>
      <c r="D9" s="5"/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22</v>
      </c>
    </row>
    <row r="11" customFormat="false" ht="15" hidden="false" customHeight="true" outlineLevel="0" collapsed="false">
      <c r="A11" s="6"/>
      <c r="B11" s="6"/>
      <c r="C11" s="6"/>
      <c r="D11" s="6"/>
    </row>
    <row r="12" customFormat="false" ht="15" hidden="false" customHeight="false" outlineLevel="0" collapsed="false">
      <c r="A12" s="7" t="s">
        <v>23</v>
      </c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4" min="3" style="1" width="16"/>
  </cols>
  <sheetData>
    <row r="1" customFormat="false" ht="15" hidden="false" customHeight="true" outlineLevel="0" collapsed="false">
      <c r="A1" s="8" t="s">
        <v>24</v>
      </c>
      <c r="B1" s="8" t="s">
        <v>25</v>
      </c>
      <c r="C1" s="8" t="s">
        <v>26</v>
      </c>
      <c r="D1" s="8" t="s">
        <v>27</v>
      </c>
    </row>
    <row r="2" customFormat="false" ht="15" hidden="false" customHeight="true" outlineLevel="0" collapsed="false">
      <c r="A2" s="9" t="s">
        <v>28</v>
      </c>
      <c r="B2" s="9" t="n">
        <v>1</v>
      </c>
      <c r="C2" s="5" t="s">
        <v>29</v>
      </c>
      <c r="D2" s="10" t="n">
        <v>0.2</v>
      </c>
    </row>
    <row r="3" customFormat="false" ht="15" hidden="false" customHeight="true" outlineLevel="0" collapsed="false">
      <c r="A3" s="9" t="s">
        <v>28</v>
      </c>
      <c r="B3" s="9" t="n">
        <v>2</v>
      </c>
      <c r="C3" s="5" t="s">
        <v>30</v>
      </c>
      <c r="D3" s="10" t="n">
        <v>0.4</v>
      </c>
    </row>
    <row r="4" customFormat="false" ht="15" hidden="false" customHeight="true" outlineLevel="0" collapsed="false">
      <c r="A4" s="9" t="s">
        <v>28</v>
      </c>
      <c r="B4" s="9" t="n">
        <v>3</v>
      </c>
      <c r="C4" s="5" t="s">
        <v>31</v>
      </c>
      <c r="D4" s="10" t="n">
        <v>0.6</v>
      </c>
    </row>
    <row r="5" customFormat="false" ht="15" hidden="false" customHeight="true" outlineLevel="0" collapsed="false">
      <c r="A5" s="9" t="s">
        <v>28</v>
      </c>
      <c r="B5" s="9" t="n">
        <v>4</v>
      </c>
      <c r="C5" s="5" t="s">
        <v>32</v>
      </c>
      <c r="D5" s="10" t="n">
        <v>0.8</v>
      </c>
    </row>
    <row r="6" customFormat="false" ht="15" hidden="false" customHeight="true" outlineLevel="0" collapsed="false">
      <c r="A6" s="9" t="s">
        <v>28</v>
      </c>
      <c r="B6" s="9" t="n">
        <v>5</v>
      </c>
      <c r="C6" s="5" t="s">
        <v>33</v>
      </c>
      <c r="D6" s="10" t="n">
        <v>1</v>
      </c>
    </row>
    <row r="7" customFormat="false" ht="15" hidden="false" customHeight="true" outlineLevel="0" collapsed="false">
      <c r="A7" s="9" t="s">
        <v>34</v>
      </c>
      <c r="B7" s="9" t="n">
        <v>1</v>
      </c>
      <c r="C7" s="5" t="s">
        <v>35</v>
      </c>
      <c r="D7" s="10" t="n">
        <v>0.2</v>
      </c>
    </row>
    <row r="8" customFormat="false" ht="15" hidden="false" customHeight="true" outlineLevel="0" collapsed="false">
      <c r="A8" s="9" t="s">
        <v>34</v>
      </c>
      <c r="B8" s="9" t="n">
        <v>2</v>
      </c>
      <c r="C8" s="5" t="s">
        <v>36</v>
      </c>
      <c r="D8" s="10" t="n">
        <v>0.4</v>
      </c>
    </row>
    <row r="9" customFormat="false" ht="15" hidden="false" customHeight="true" outlineLevel="0" collapsed="false">
      <c r="A9" s="9" t="s">
        <v>34</v>
      </c>
      <c r="B9" s="9" t="n">
        <v>3</v>
      </c>
      <c r="C9" s="5" t="s">
        <v>37</v>
      </c>
      <c r="D9" s="10" t="n">
        <v>0.6</v>
      </c>
    </row>
    <row r="10" customFormat="false" ht="15" hidden="false" customHeight="true" outlineLevel="0" collapsed="false">
      <c r="A10" s="9" t="s">
        <v>34</v>
      </c>
      <c r="B10" s="9" t="n">
        <v>4</v>
      </c>
      <c r="C10" s="5" t="s">
        <v>38</v>
      </c>
      <c r="D10" s="10" t="n">
        <v>0.8</v>
      </c>
    </row>
    <row r="11" customFormat="false" ht="15" hidden="false" customHeight="true" outlineLevel="0" collapsed="false">
      <c r="A11" s="9" t="s">
        <v>34</v>
      </c>
      <c r="B11" s="9" t="n">
        <v>5</v>
      </c>
      <c r="C11" s="5" t="s">
        <v>39</v>
      </c>
      <c r="D11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0"/>
  </cols>
  <sheetData>
    <row r="1" customFormat="false" ht="15" hidden="false" customHeight="true" outlineLevel="0" collapsed="false">
      <c r="A1" s="8" t="s">
        <v>40</v>
      </c>
      <c r="B1" s="8" t="s">
        <v>41</v>
      </c>
      <c r="C1" s="8" t="s">
        <v>42</v>
      </c>
    </row>
    <row r="2" customFormat="false" ht="15" hidden="false" customHeight="true" outlineLevel="0" collapsed="false">
      <c r="A2" s="5" t="s">
        <v>43</v>
      </c>
      <c r="B2" s="5" t="s">
        <v>44</v>
      </c>
      <c r="C2" s="9" t="n">
        <v>1</v>
      </c>
    </row>
    <row r="3" customFormat="false" ht="15" hidden="false" customHeight="true" outlineLevel="0" collapsed="false">
      <c r="A3" s="5" t="s">
        <v>43</v>
      </c>
      <c r="B3" s="5" t="s">
        <v>45</v>
      </c>
      <c r="C3" s="9" t="n">
        <v>3</v>
      </c>
    </row>
    <row r="4" customFormat="false" ht="15" hidden="false" customHeight="true" outlineLevel="0" collapsed="false">
      <c r="A4" s="5" t="s">
        <v>43</v>
      </c>
      <c r="B4" s="5" t="s">
        <v>46</v>
      </c>
      <c r="C4" s="9" t="n">
        <v>4.5</v>
      </c>
    </row>
    <row r="5" customFormat="false" ht="15" hidden="false" customHeight="true" outlineLevel="0" collapsed="false">
      <c r="A5" s="5" t="s">
        <v>47</v>
      </c>
      <c r="B5" s="5" t="s">
        <v>48</v>
      </c>
      <c r="C5" s="9" t="n">
        <v>4.5</v>
      </c>
    </row>
    <row r="6" customFormat="false" ht="15" hidden="false" customHeight="true" outlineLevel="0" collapsed="false">
      <c r="A6" s="5" t="s">
        <v>47</v>
      </c>
      <c r="B6" s="5" t="s">
        <v>49</v>
      </c>
      <c r="C6" s="9" t="n">
        <v>1</v>
      </c>
    </row>
    <row r="7" customFormat="false" ht="15" hidden="false" customHeight="true" outlineLevel="0" collapsed="false">
      <c r="A7" s="5" t="s">
        <v>50</v>
      </c>
      <c r="B7" s="5" t="s">
        <v>51</v>
      </c>
      <c r="C7" s="9" t="n">
        <v>4.5</v>
      </c>
    </row>
    <row r="8" customFormat="false" ht="15" hidden="false" customHeight="true" outlineLevel="0" collapsed="false">
      <c r="A8" s="5" t="s">
        <v>50</v>
      </c>
      <c r="B8" s="5" t="s">
        <v>52</v>
      </c>
      <c r="C8" s="9" t="n">
        <v>4.5</v>
      </c>
    </row>
    <row r="9" customFormat="false" ht="15" hidden="false" customHeight="true" outlineLevel="0" collapsed="false">
      <c r="A9" s="5" t="s">
        <v>50</v>
      </c>
      <c r="B9" s="5" t="s">
        <v>53</v>
      </c>
      <c r="C9" s="9" t="n">
        <v>4</v>
      </c>
    </row>
    <row r="10" customFormat="false" ht="15" hidden="false" customHeight="true" outlineLevel="0" collapsed="false">
      <c r="A10" s="5" t="s">
        <v>50</v>
      </c>
      <c r="B10" s="5" t="s">
        <v>54</v>
      </c>
      <c r="C10" s="9" t="n">
        <v>3.5</v>
      </c>
    </row>
    <row r="11" customFormat="false" ht="15" hidden="false" customHeight="true" outlineLevel="0" collapsed="false">
      <c r="A11" s="5" t="s">
        <v>50</v>
      </c>
      <c r="B11" s="5" t="s">
        <v>55</v>
      </c>
      <c r="C11" s="9" t="n">
        <v>3</v>
      </c>
    </row>
    <row r="12" customFormat="false" ht="15" hidden="false" customHeight="true" outlineLevel="0" collapsed="false">
      <c r="A12" s="5" t="s">
        <v>50</v>
      </c>
      <c r="B12" s="5" t="s">
        <v>56</v>
      </c>
      <c r="C12" s="9" t="n">
        <v>2.5</v>
      </c>
    </row>
    <row r="13" customFormat="false" ht="15" hidden="false" customHeight="true" outlineLevel="0" collapsed="false">
      <c r="A13" s="5" t="s">
        <v>50</v>
      </c>
      <c r="B13" s="5" t="s">
        <v>57</v>
      </c>
      <c r="C13" s="9" t="n">
        <v>2</v>
      </c>
    </row>
    <row r="14" customFormat="false" ht="15" hidden="false" customHeight="true" outlineLevel="0" collapsed="false">
      <c r="A14" s="5" t="s">
        <v>50</v>
      </c>
      <c r="B14" s="5" t="s">
        <v>58</v>
      </c>
      <c r="C14" s="9" t="n">
        <v>1</v>
      </c>
    </row>
    <row r="15" customFormat="false" ht="15" hidden="false" customHeight="true" outlineLevel="0" collapsed="false">
      <c r="A15" s="5" t="s">
        <v>50</v>
      </c>
      <c r="B15" s="5" t="s">
        <v>59</v>
      </c>
      <c r="C15" s="9" t="n">
        <v>0.5</v>
      </c>
    </row>
    <row r="16" customFormat="false" ht="15" hidden="false" customHeight="true" outlineLevel="0" collapsed="false">
      <c r="A16" s="5" t="s">
        <v>50</v>
      </c>
      <c r="B16" s="5" t="s">
        <v>60</v>
      </c>
      <c r="C16" s="9" t="n">
        <v>0</v>
      </c>
    </row>
    <row r="18" customFormat="false" ht="15" hidden="false" customHeight="true" outlineLevel="0" collapsed="false">
      <c r="A18" s="11" t="s">
        <v>61</v>
      </c>
      <c r="B18" s="11"/>
      <c r="C18" s="11"/>
    </row>
  </sheetData>
  <mergeCells count="1"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5"/>
  </cols>
  <sheetData>
    <row r="1" customFormat="false" ht="15" hidden="false" customHeight="true" outlineLevel="0" collapsed="false">
      <c r="A1" s="8" t="s">
        <v>62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customFormat="false" ht="15" hidden="false" customHeight="true" outlineLevel="0" collapsed="false">
      <c r="A2" s="12" t="s">
        <v>33</v>
      </c>
      <c r="B2" s="13" t="s">
        <v>63</v>
      </c>
      <c r="C2" s="13" t="s">
        <v>63</v>
      </c>
      <c r="D2" s="13" t="s">
        <v>64</v>
      </c>
      <c r="E2" s="13" t="s">
        <v>65</v>
      </c>
      <c r="F2" s="13" t="s">
        <v>65</v>
      </c>
    </row>
    <row r="3" customFormat="false" ht="15" hidden="false" customHeight="true" outlineLevel="0" collapsed="false">
      <c r="A3" s="12" t="s">
        <v>32</v>
      </c>
      <c r="B3" s="13" t="s">
        <v>66</v>
      </c>
      <c r="C3" s="13" t="s">
        <v>63</v>
      </c>
      <c r="D3" s="13" t="s">
        <v>64</v>
      </c>
      <c r="E3" s="13" t="s">
        <v>64</v>
      </c>
      <c r="F3" s="13" t="s">
        <v>65</v>
      </c>
    </row>
    <row r="4" customFormat="false" ht="15" hidden="false" customHeight="true" outlineLevel="0" collapsed="false">
      <c r="A4" s="12" t="s">
        <v>31</v>
      </c>
      <c r="B4" s="13" t="s">
        <v>66</v>
      </c>
      <c r="C4" s="13" t="s">
        <v>63</v>
      </c>
      <c r="D4" s="13" t="s">
        <v>63</v>
      </c>
      <c r="E4" s="13" t="s">
        <v>64</v>
      </c>
      <c r="F4" s="13" t="s">
        <v>64</v>
      </c>
    </row>
    <row r="5" customFormat="false" ht="15" hidden="false" customHeight="true" outlineLevel="0" collapsed="false">
      <c r="A5" s="12" t="s">
        <v>30</v>
      </c>
      <c r="B5" s="13" t="s">
        <v>66</v>
      </c>
      <c r="C5" s="13" t="s">
        <v>66</v>
      </c>
      <c r="D5" s="13" t="s">
        <v>63</v>
      </c>
      <c r="E5" s="13" t="s">
        <v>63</v>
      </c>
      <c r="F5" s="13" t="s">
        <v>63</v>
      </c>
    </row>
    <row r="6" customFormat="false" ht="15" hidden="false" customHeight="true" outlineLevel="0" collapsed="false">
      <c r="A6" s="12" t="s">
        <v>29</v>
      </c>
      <c r="B6" s="13" t="s">
        <v>67</v>
      </c>
      <c r="C6" s="13" t="s">
        <v>66</v>
      </c>
      <c r="D6" s="13" t="s">
        <v>66</v>
      </c>
      <c r="E6" s="13" t="s">
        <v>66</v>
      </c>
      <c r="F6" s="1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5"/>
  </cols>
  <sheetData>
    <row r="1" customFormat="false" ht="15" hidden="false" customHeight="true" outlineLevel="0" collapsed="false">
      <c r="A1" s="8" t="s">
        <v>62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customFormat="false" ht="15" hidden="false" customHeight="true" outlineLevel="0" collapsed="false">
      <c r="A2" s="12" t="s">
        <v>33</v>
      </c>
      <c r="B2" s="13" t="s">
        <v>63</v>
      </c>
      <c r="C2" s="13" t="s">
        <v>64</v>
      </c>
      <c r="D2" s="13" t="s">
        <v>65</v>
      </c>
      <c r="E2" s="13" t="s">
        <v>65</v>
      </c>
      <c r="F2" s="13" t="s">
        <v>65</v>
      </c>
    </row>
    <row r="3" customFormat="false" ht="15" hidden="false" customHeight="true" outlineLevel="0" collapsed="false">
      <c r="A3" s="12" t="s">
        <v>32</v>
      </c>
      <c r="B3" s="13" t="s">
        <v>63</v>
      </c>
      <c r="C3" s="13" t="s">
        <v>64</v>
      </c>
      <c r="D3" s="13" t="s">
        <v>64</v>
      </c>
      <c r="E3" s="13" t="s">
        <v>65</v>
      </c>
      <c r="F3" s="13" t="s">
        <v>65</v>
      </c>
    </row>
    <row r="4" customFormat="false" ht="15" hidden="false" customHeight="true" outlineLevel="0" collapsed="false">
      <c r="A4" s="12" t="s">
        <v>31</v>
      </c>
      <c r="B4" s="13" t="s">
        <v>66</v>
      </c>
      <c r="C4" s="13" t="s">
        <v>63</v>
      </c>
      <c r="D4" s="13" t="s">
        <v>64</v>
      </c>
      <c r="E4" s="13" t="s">
        <v>64</v>
      </c>
      <c r="F4" s="13" t="s">
        <v>65</v>
      </c>
    </row>
    <row r="5" customFormat="false" ht="15" hidden="false" customHeight="true" outlineLevel="0" collapsed="false">
      <c r="A5" s="12" t="s">
        <v>30</v>
      </c>
      <c r="B5" s="13" t="s">
        <v>66</v>
      </c>
      <c r="C5" s="13" t="s">
        <v>63</v>
      </c>
      <c r="D5" s="13" t="s">
        <v>63</v>
      </c>
      <c r="E5" s="13" t="s">
        <v>64</v>
      </c>
      <c r="F5" s="13" t="s">
        <v>64</v>
      </c>
    </row>
    <row r="6" customFormat="false" ht="15" hidden="false" customHeight="true" outlineLevel="0" collapsed="false">
      <c r="A6" s="12" t="s">
        <v>29</v>
      </c>
      <c r="B6" s="13" t="s">
        <v>67</v>
      </c>
      <c r="C6" s="13" t="s">
        <v>66</v>
      </c>
      <c r="D6" s="13" t="s">
        <v>63</v>
      </c>
      <c r="E6" s="13" t="s">
        <v>63</v>
      </c>
      <c r="F6" s="1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5"/>
  </cols>
  <sheetData>
    <row r="1" customFormat="false" ht="15" hidden="false" customHeight="true" outlineLevel="0" collapsed="false">
      <c r="A1" s="8" t="s">
        <v>62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customFormat="false" ht="15" hidden="false" customHeight="true" outlineLevel="0" collapsed="false">
      <c r="A2" s="12" t="s">
        <v>33</v>
      </c>
      <c r="B2" s="13" t="s">
        <v>66</v>
      </c>
      <c r="C2" s="13" t="s">
        <v>63</v>
      </c>
      <c r="D2" s="13" t="s">
        <v>63</v>
      </c>
      <c r="E2" s="13" t="s">
        <v>64</v>
      </c>
      <c r="F2" s="13" t="s">
        <v>65</v>
      </c>
    </row>
    <row r="3" customFormat="false" ht="15" hidden="false" customHeight="true" outlineLevel="0" collapsed="false">
      <c r="A3" s="12" t="s">
        <v>32</v>
      </c>
      <c r="B3" s="13" t="s">
        <v>66</v>
      </c>
      <c r="C3" s="13" t="s">
        <v>66</v>
      </c>
      <c r="D3" s="13" t="s">
        <v>63</v>
      </c>
      <c r="E3" s="13" t="s">
        <v>64</v>
      </c>
      <c r="F3" s="13" t="s">
        <v>64</v>
      </c>
    </row>
    <row r="4" customFormat="false" ht="15" hidden="false" customHeight="true" outlineLevel="0" collapsed="false">
      <c r="A4" s="12" t="s">
        <v>31</v>
      </c>
      <c r="B4" s="13" t="s">
        <v>67</v>
      </c>
      <c r="C4" s="13" t="s">
        <v>66</v>
      </c>
      <c r="D4" s="13" t="s">
        <v>63</v>
      </c>
      <c r="E4" s="13" t="s">
        <v>63</v>
      </c>
      <c r="F4" s="13" t="s">
        <v>64</v>
      </c>
    </row>
    <row r="5" customFormat="false" ht="15" hidden="false" customHeight="true" outlineLevel="0" collapsed="false">
      <c r="A5" s="12" t="s">
        <v>30</v>
      </c>
      <c r="B5" s="13" t="s">
        <v>67</v>
      </c>
      <c r="C5" s="13" t="s">
        <v>66</v>
      </c>
      <c r="D5" s="13" t="s">
        <v>66</v>
      </c>
      <c r="E5" s="13" t="s">
        <v>63</v>
      </c>
      <c r="F5" s="13" t="s">
        <v>63</v>
      </c>
    </row>
    <row r="6" customFormat="false" ht="15" hidden="false" customHeight="true" outlineLevel="0" collapsed="false">
      <c r="A6" s="12" t="s">
        <v>29</v>
      </c>
      <c r="B6" s="13" t="s">
        <v>67</v>
      </c>
      <c r="C6" s="13" t="s">
        <v>67</v>
      </c>
      <c r="D6" s="13" t="s">
        <v>66</v>
      </c>
      <c r="E6" s="13" t="s">
        <v>66</v>
      </c>
      <c r="F6" s="1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5"/>
  </cols>
  <sheetData>
    <row r="1" customFormat="false" ht="15" hidden="false" customHeight="true" outlineLevel="0" collapsed="false">
      <c r="A1" s="8" t="s">
        <v>62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</row>
    <row r="2" customFormat="false" ht="15" hidden="false" customHeight="true" outlineLevel="0" collapsed="false">
      <c r="A2" s="12" t="s">
        <v>33</v>
      </c>
      <c r="B2" s="9" t="s">
        <v>68</v>
      </c>
      <c r="C2" s="9" t="s">
        <v>64</v>
      </c>
      <c r="D2" s="9" t="s">
        <v>69</v>
      </c>
      <c r="E2" s="9" t="s">
        <v>69</v>
      </c>
      <c r="F2" s="9" t="s">
        <v>69</v>
      </c>
    </row>
    <row r="3" customFormat="false" ht="15" hidden="false" customHeight="true" outlineLevel="0" collapsed="false">
      <c r="A3" s="12" t="s">
        <v>32</v>
      </c>
      <c r="B3" s="9" t="s">
        <v>68</v>
      </c>
      <c r="C3" s="9" t="s">
        <v>64</v>
      </c>
      <c r="D3" s="9" t="s">
        <v>64</v>
      </c>
      <c r="E3" s="9" t="s">
        <v>69</v>
      </c>
      <c r="F3" s="9" t="s">
        <v>69</v>
      </c>
    </row>
    <row r="4" customFormat="false" ht="23.25" hidden="false" customHeight="true" outlineLevel="0" collapsed="false">
      <c r="A4" s="12" t="s">
        <v>31</v>
      </c>
      <c r="B4" s="9" t="s">
        <v>70</v>
      </c>
      <c r="C4" s="9" t="s">
        <v>68</v>
      </c>
      <c r="D4" s="9" t="s">
        <v>64</v>
      </c>
      <c r="E4" s="9" t="s">
        <v>64</v>
      </c>
      <c r="F4" s="9" t="s">
        <v>69</v>
      </c>
    </row>
    <row r="5" customFormat="false" ht="23.25" hidden="false" customHeight="true" outlineLevel="0" collapsed="false">
      <c r="A5" s="12" t="s">
        <v>30</v>
      </c>
      <c r="B5" s="9" t="s">
        <v>70</v>
      </c>
      <c r="C5" s="9" t="s">
        <v>68</v>
      </c>
      <c r="D5" s="9" t="s">
        <v>68</v>
      </c>
      <c r="E5" s="9" t="s">
        <v>64</v>
      </c>
      <c r="F5" s="9" t="s">
        <v>64</v>
      </c>
    </row>
    <row r="6" customFormat="false" ht="23.25" hidden="false" customHeight="true" outlineLevel="0" collapsed="false">
      <c r="A6" s="12" t="s">
        <v>29</v>
      </c>
      <c r="B6" s="9" t="s">
        <v>70</v>
      </c>
      <c r="C6" s="9" t="s">
        <v>70</v>
      </c>
      <c r="D6" s="9" t="s">
        <v>70</v>
      </c>
      <c r="E6" s="9" t="s">
        <v>68</v>
      </c>
      <c r="F6" s="9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48"/>
    <col collapsed="false" customWidth="true" hidden="false" outlineLevel="0" max="4" min="4" style="1" width="10"/>
  </cols>
  <sheetData>
    <row r="1" customFormat="false" ht="15" hidden="false" customHeight="true" outlineLevel="0" collapsed="false">
      <c r="A1" s="8" t="s">
        <v>71</v>
      </c>
      <c r="B1" s="8" t="s">
        <v>72</v>
      </c>
      <c r="C1" s="8" t="s">
        <v>73</v>
      </c>
      <c r="D1" s="8" t="s">
        <v>74</v>
      </c>
    </row>
    <row r="2" customFormat="false" ht="15" hidden="false" customHeight="true" outlineLevel="0" collapsed="false">
      <c r="A2" s="14" t="s">
        <v>75</v>
      </c>
      <c r="B2" s="13" t="s">
        <v>76</v>
      </c>
      <c r="C2" s="15" t="s">
        <v>77</v>
      </c>
      <c r="D2" s="9" t="s">
        <v>78</v>
      </c>
    </row>
    <row r="3" customFormat="false" ht="15" hidden="false" customHeight="true" outlineLevel="0" collapsed="false">
      <c r="A3" s="14" t="s">
        <v>79</v>
      </c>
      <c r="B3" s="13" t="s">
        <v>80</v>
      </c>
      <c r="C3" s="15" t="s">
        <v>81</v>
      </c>
      <c r="D3" s="9" t="s">
        <v>82</v>
      </c>
    </row>
    <row r="4" customFormat="false" ht="15" hidden="false" customHeight="true" outlineLevel="0" collapsed="false">
      <c r="A4" s="14" t="s">
        <v>83</v>
      </c>
      <c r="B4" s="13" t="s">
        <v>84</v>
      </c>
      <c r="C4" s="15" t="s">
        <v>85</v>
      </c>
      <c r="D4" s="9" t="s">
        <v>86</v>
      </c>
    </row>
    <row r="5" customFormat="false" ht="15" hidden="false" customHeight="true" outlineLevel="0" collapsed="false">
      <c r="A5" s="14" t="s">
        <v>87</v>
      </c>
      <c r="B5" s="13" t="s">
        <v>88</v>
      </c>
      <c r="C5" s="15" t="s">
        <v>89</v>
      </c>
      <c r="D5" s="9" t="s">
        <v>86</v>
      </c>
    </row>
    <row r="6" customFormat="false" ht="15" hidden="false" customHeight="true" outlineLevel="0" collapsed="false">
      <c r="A6" s="14" t="s">
        <v>90</v>
      </c>
      <c r="B6" s="13"/>
      <c r="C6" s="15" t="s">
        <v>91</v>
      </c>
      <c r="D6" s="9" t="s">
        <v>92</v>
      </c>
    </row>
    <row r="7" customFormat="false" ht="15" hidden="false" customHeight="true" outlineLevel="0" collapsed="false">
      <c r="A7" s="14" t="s">
        <v>93</v>
      </c>
      <c r="B7" s="13" t="n">
        <v>2</v>
      </c>
      <c r="C7" s="15" t="s">
        <v>94</v>
      </c>
      <c r="D7" s="9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45"/>
  </cols>
  <sheetData>
    <row r="1" customFormat="false" ht="15" hidden="false" customHeight="true" outlineLevel="0" collapsed="false">
      <c r="A1" s="16" t="s">
        <v>96</v>
      </c>
      <c r="B1" s="16"/>
      <c r="C1" s="16"/>
      <c r="D1" s="16"/>
    </row>
    <row r="2" customFormat="false" ht="15" hidden="false" customHeight="true" outlineLevel="0" collapsed="false">
      <c r="A2" s="8" t="s">
        <v>71</v>
      </c>
      <c r="B2" s="8" t="s">
        <v>72</v>
      </c>
      <c r="C2" s="8" t="s">
        <v>97</v>
      </c>
    </row>
    <row r="3" customFormat="false" ht="32.25" hidden="false" customHeight="true" outlineLevel="0" collapsed="false">
      <c r="A3" s="9" t="s">
        <v>98</v>
      </c>
      <c r="B3" s="13" t="n">
        <v>12110</v>
      </c>
      <c r="C3" s="15" t="s">
        <v>99</v>
      </c>
    </row>
    <row r="4" customFormat="false" ht="15" hidden="false" customHeight="true" outlineLevel="0" collapsed="false">
      <c r="A4" s="9" t="s">
        <v>100</v>
      </c>
      <c r="B4" s="13" t="n">
        <v>2026</v>
      </c>
      <c r="C4" s="15" t="s">
        <v>101</v>
      </c>
    </row>
    <row r="6" customFormat="false" ht="15" hidden="false" customHeight="true" outlineLevel="0" collapsed="false">
      <c r="A6" s="16" t="s">
        <v>102</v>
      </c>
      <c r="B6" s="16"/>
      <c r="C6" s="16"/>
      <c r="D6" s="16"/>
      <c r="E6" s="16"/>
    </row>
    <row r="7" customFormat="false" ht="23.25" hidden="false" customHeight="true" outlineLevel="0" collapsed="false">
      <c r="A7" s="8" t="s">
        <v>103</v>
      </c>
      <c r="B7" s="8" t="s">
        <v>104</v>
      </c>
      <c r="C7" s="8" t="s">
        <v>105</v>
      </c>
      <c r="D7" s="8" t="s">
        <v>106</v>
      </c>
      <c r="E7" s="8" t="s">
        <v>97</v>
      </c>
    </row>
    <row r="8" customFormat="false" ht="15" hidden="false" customHeight="true" outlineLevel="0" collapsed="false">
      <c r="A8" s="9" t="s">
        <v>107</v>
      </c>
      <c r="B8" s="9" t="s">
        <v>108</v>
      </c>
      <c r="C8" s="9" t="n">
        <v>4929017</v>
      </c>
      <c r="D8" s="17" t="n">
        <f aca="false">C8*$B$3</f>
        <v>59690395870</v>
      </c>
      <c r="E8" s="15" t="s">
        <v>109</v>
      </c>
    </row>
    <row r="9" customFormat="false" ht="32.25" hidden="false" customHeight="true" outlineLevel="0" collapsed="false">
      <c r="A9" s="9" t="s">
        <v>110</v>
      </c>
      <c r="B9" s="9" t="s">
        <v>111</v>
      </c>
      <c r="C9" s="9" t="n">
        <v>369676</v>
      </c>
      <c r="D9" s="17" t="n">
        <f aca="false">C9*$B$3</f>
        <v>4476776360</v>
      </c>
      <c r="E9" s="15" t="s">
        <v>112</v>
      </c>
    </row>
    <row r="10" customFormat="false" ht="15" hidden="false" customHeight="true" outlineLevel="0" collapsed="false">
      <c r="A10" s="9" t="s">
        <v>110</v>
      </c>
      <c r="B10" s="9" t="s">
        <v>113</v>
      </c>
      <c r="C10" s="9" t="n">
        <v>616127</v>
      </c>
      <c r="D10" s="17" t="n">
        <f aca="false">C10*$B$3</f>
        <v>7461297970</v>
      </c>
      <c r="E10" s="15" t="s">
        <v>114</v>
      </c>
    </row>
    <row r="12" customFormat="false" ht="15" hidden="false" customHeight="true" outlineLevel="0" collapsed="false">
      <c r="A12" s="11" t="s">
        <v>115</v>
      </c>
      <c r="B12" s="11"/>
      <c r="C12" s="11"/>
      <c r="D12" s="11"/>
      <c r="E12" s="11"/>
    </row>
  </sheetData>
  <mergeCells count="3">
    <mergeCell ref="A1:D1"/>
    <mergeCell ref="A6:E6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2026-08-19T04:37:32Z</dcterms:created>
  <dc:creator>openpyxl</dc:creator>
  <dc:description/>
  <dc:language>en-US</dc:language>
  <cp:lastModifiedBy/>
  <dcterms:modified xsi:type="dcterms:W3CDTF">2026-08-19T05:08:22Z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